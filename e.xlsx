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61d78240b954f95" /></Relationships>
</file>

<file path=xl/workbook.xml><?xml version="1.0" encoding="utf-8"?>
<x:workbook xmlns:x="http://schemas.openxmlformats.org/spreadsheetml/2006/main">
  <x:sheets>
    <x:sheet xmlns:r="http://schemas.openxmlformats.org/officeDocument/2006/relationships" name="Timeline" sheetId="1" r:id="R9f56ab1afd974c2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m/d/yyyy"/>
  </x:numFmts>
  <x:fonts count="7">
    <x:font>
      <x:sz val="11"/>
      <x:name val="Carlito"/>
    </x:font>
    <x:font>
      <x:sz val="11"/>
      <x:color rgb="FF404040"/>
      <x:name val="Calibri"/>
    </x:font>
    <x:font>
      <x:b/>
      <x:sz val="11"/>
      <x:color rgb="FF595959"/>
      <x:name val="Calibri"/>
    </x:font>
    <x:font>
      <x:b/>
      <x:sz val="10"/>
      <x:color rgb="FF595959"/>
      <x:name val="Calibri"/>
    </x:font>
    <x:font>
      <x:i/>
      <x:sz val="10"/>
      <x:color rgb="FF666666"/>
      <x:name val="Calibri"/>
    </x:font>
    <x:font>
      <x:b/>
      <x:sz val="10"/>
      <x:color rgb="FF404040"/>
      <x:name val="Calibri"/>
    </x:font>
    <x:font>
      <x:b/>
      <x:sz val="11"/>
      <x:color rgb="FF404040"/>
      <x:name val="Calibri"/>
    </x:font>
  </x:fonts>
  <x:fills count="4">
    <x:fill>
      <x:patternFill patternType="none"/>
    </x:fill>
    <x:fill>
      <x:patternFill patternType="gray125"/>
    </x:fill>
    <x:fill>
      <x:patternFill patternType="solid">
        <x:fgColor rgb="FFF2F2F2"/>
      </x:patternFill>
    </x:fill>
    <x:fill>
      <x:patternFill patternType="solid">
        <x:fgColor rgb="FFD9E2F3"/>
      </x:patternFill>
    </x:fill>
  </x:fills>
  <x:borders count="3">
    <x:border/>
    <x:border>
      <x:left style="thin">
        <x:color rgb="FFA6A6A6"/>
      </x:left>
      <x:right style="thin">
        <x:color rgb="FFA6A6A6"/>
      </x:right>
      <x:top style="thin">
        <x:color rgb="FFA6A6A6"/>
      </x:top>
      <x:bottom style="thin">
        <x:color rgb="FFA6A6A6"/>
      </x:bottom>
    </x:border>
    <x:border>
      <x:left style="thin">
        <x:color rgb="FF7F7F7F"/>
      </x:left>
      <x:right style="thin">
        <x:color rgb="FF7F7F7F"/>
      </x:right>
      <x:top style="thin">
        <x:color rgb="FF7F7F7F"/>
      </x:top>
      <x:bottom style="thin">
        <x:color rgb="FF7F7F7F"/>
      </x:bottom>
    </x:border>
  </x:borders>
  <x:cellStyleXfs count="1">
    <x:xf numFmtId="0" fontId="0" fillId="0" borderId="0"/>
  </x:cellStyleXfs>
  <x:cellXfs count="35">
    <x:xf numFmtId="0" fontId="0" fillId="0" borderId="0" xfId="0"/>
    <x:xf numFmtId="200" fontId="0" fillId="0" borderId="0" xfId="0" applyNumberFormat="1" applyFont="1" applyFill="1" applyBorder="1"/>
    <x:xf numFmtId="0" fontId="1" fillId="0" borderId="0" xfId="0" applyNumberFormat="1" applyFont="1" applyFill="1" applyBorder="1"/>
    <x:xf numFmtId="200" fontId="1" fillId="0" borderId="0" xfId="0" applyNumberFormat="1" applyFont="1" applyFill="1" applyBorder="1"/>
    <x:xf numFmtId="0" fontId="1"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2" fillId="0" borderId="0" xfId="0" applyNumberFormat="1" applyFont="1" applyFill="1" applyBorder="1" applyAlignment="1">
      <x:alignment horizontal="right" vertical="center"/>
    </x:xf>
    <x:xf numFmtId="0" fontId="1" fillId="0" borderId="0" xfId="0" applyNumberFormat="1" applyFont="1" applyFill="1" applyBorder="1" applyAlignment="1">
      <x:alignment horizontal="right" vertical="center"/>
    </x:xf>
    <x:xf numFmtId="0" fontId="1" fillId="0" borderId="0" xfId="0" applyNumberFormat="1" applyFont="1" applyFill="1" applyBorder="1" applyAlignment="1">
      <x:alignment horizontal="left" vertical="center"/>
    </x:xf>
    <x:xf numFmtId="200" fontId="1" fillId="0" borderId="0" xfId="0" applyNumberFormat="1" applyFont="1" applyFill="1" applyBorder="1" applyAlignment="1">
      <x:alignment horizontal="left" vertical="center"/>
    </x:xf>
    <x:xf numFmtId="0" fontId="2" fillId="0" borderId="1" xfId="0" applyNumberFormat="1" applyFont="1" applyFill="1" applyBorder="1" applyAlignment="1">
      <x:alignment horizontal="right" vertical="center"/>
    </x:xf>
    <x:xf numFmtId="0" fontId="1" fillId="0" borderId="1" xfId="0" applyNumberFormat="1" applyFont="1" applyFill="1" applyBorder="1" applyAlignment="1">
      <x:alignment horizontal="right" vertical="center"/>
    </x:xf>
    <x:xf numFmtId="0" fontId="1" fillId="0" borderId="1" xfId="0" applyNumberFormat="1" applyFont="1" applyFill="1" applyBorder="1" applyAlignment="1">
      <x:alignment horizontal="left" vertical="center"/>
    </x:xf>
    <x:xf numFmtId="200" fontId="1" fillId="0" borderId="1" xfId="0" applyNumberFormat="1" applyFont="1" applyFill="1" applyBorder="1" applyAlignment="1">
      <x:alignment horizontal="left" vertical="center"/>
    </x:xf>
    <x:xf numFmtId="0" fontId="1" fillId="2" borderId="0" xfId="0" applyNumberFormat="1" applyFont="1" applyFill="1" applyBorder="1" applyAlignment="1">
      <x:alignment vertical="center"/>
    </x:xf>
    <x:xf numFmtId="0" fontId="1" fillId="2" borderId="1" xfId="0" applyNumberFormat="1" applyFont="1" applyFill="1" applyBorder="1" applyAlignment="1">
      <x:alignment vertical="center"/>
    </x:xf>
    <x:xf numFmtId="0" fontId="1" fillId="2" borderId="1" xfId="0" applyNumberFormat="1" applyFont="1" applyFill="1" applyBorder="1" applyAlignment="1">
      <x:alignment vertical="center" wrapText="1"/>
    </x:xf>
    <x:xf numFmtId="0" fontId="1" fillId="2" borderId="1" xfId="0" applyNumberFormat="1" applyFont="1" applyFill="1" applyBorder="1" applyAlignment="1">
      <x:alignment vertical="top" wrapText="1"/>
    </x:xf>
    <x:xf numFmtId="0" fontId="3" fillId="2" borderId="1"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1" fillId="3" borderId="0" xfId="0" applyNumberFormat="1" applyFont="1" applyFill="1" applyBorder="1" applyAlignment="1">
      <x:alignment vertical="center"/>
    </x:xf>
    <x:xf numFmtId="0" fontId="5" fillId="3" borderId="0" xfId="0" applyNumberFormat="1" applyFont="1" applyFill="1" applyBorder="1" applyAlignment="1">
      <x:alignment vertical="center"/>
    </x:xf>
    <x:xf numFmtId="0" fontId="5" fillId="3" borderId="2" xfId="0" applyNumberFormat="1" applyFont="1" applyFill="1" applyBorder="1" applyAlignment="1">
      <x:alignment vertical="center"/>
    </x:xf>
    <x:xf numFmtId="0" fontId="5" fillId="3" borderId="2" xfId="0" applyNumberFormat="1" applyFont="1" applyFill="1" applyBorder="1" applyAlignment="1">
      <x:alignment vertical="center" wrapText="1"/>
    </x:xf>
    <x:xf numFmtId="0" fontId="1" fillId="0" borderId="1" xfId="0" applyNumberFormat="1" applyFont="1" applyFill="1" applyBorder="1" applyAlignment="1">
      <x:alignment vertical="center"/>
    </x:xf>
    <x:xf numFmtId="200" fontId="1" fillId="0" borderId="1" xfId="0" applyNumberFormat="1" applyFont="1" applyFill="1" applyBorder="1" applyAlignment="1">
      <x:alignment vertical="center"/>
    </x:xf>
    <x:xf numFmtId="0" fontId="1" fillId="0" borderId="1" xfId="0" applyNumberFormat="1" applyFont="1" applyFill="1" applyBorder="1" applyAlignment="1">
      <x:alignment vertical="center" wrapText="1"/>
    </x:xf>
    <x:xf numFmtId="200" fontId="1" fillId="0" borderId="1" xfId="0" applyNumberFormat="1" applyFont="1" applyFill="1" applyBorder="1" applyAlignment="1">
      <x:alignment vertical="center" wrapText="1"/>
    </x:xf>
    <x:xf numFmtId="0" fontId="1" fillId="0" borderId="1" xfId="0" applyNumberFormat="1" applyFont="1" applyFill="1" applyBorder="1" applyAlignment="1">
      <x:alignment vertical="top" wrapText="1"/>
    </x:xf>
    <x:xf numFmtId="0" fontId="1" fillId="0" borderId="1" xfId="0" applyNumberFormat="1" applyFont="1" applyFill="1" applyBorder="1" applyAlignment="1">
      <x:alignment horizontal="center" vertical="center" wrapText="1"/>
    </x:xf>
    <x:xf numFmtId="200" fontId="1" fillId="0" borderId="1" xfId="0" applyNumberFormat="1" applyFont="1" applyFill="1" applyBorder="1" applyAlignment="1">
      <x:alignment horizontal="center" vertical="center" wrapText="1"/>
    </x:xf>
    <x:xf numFmtId="0" fontId="6" fillId="3" borderId="0" xfId="0" applyNumberFormat="1" applyFont="1" applyFill="1" applyBorder="1" applyAlignment="1">
      <x:alignment vertical="center"/>
    </x:xf>
    <x:xf numFmtId="0" fontId="6" fillId="3" borderId="2" xfId="0" applyNumberFormat="1" applyFont="1" applyFill="1" applyBorder="1" applyAlignment="1">
      <x:alignment vertical="center"/>
    </x:xf>
    <x:xf numFmtId="0" fontId="6" fillId="3" borderId="2" xfId="0" applyNumberFormat="1" applyFont="1" applyFill="1" applyBorder="1"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2ca3cfaaf764d2e" /><Relationship Type="http://schemas.openxmlformats.org/officeDocument/2006/relationships/theme" Target="/xl/theme/theme1.xml" Id="R7f86c3c45f384b98" /><Relationship Type="http://schemas.openxmlformats.org/officeDocument/2006/relationships/sharedStrings" Target="/xl/sharedStrings.xml" Id="R53f12d10f4b54605" /><Relationship Type="http://schemas.openxmlformats.org/officeDocument/2006/relationships/worksheet" Target="/xl/worksheets/sheet1.xml" Id="R9f56ab1afd974c2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8" hidden="0" customWidth="1"/>
    <x:col min="2" max="2" width="18" hidden="0" customWidth="1"/>
    <x:col min="3" max="3" width="78" hidden="0" customWidth="1"/>
    <x:col min="4" max="4" width="13" hidden="0" customWidth="1"/>
    <x:col min="5" max="5" width="13" hidden="0" customWidth="1"/>
    <x:col min="6" max="6" width="10" hidden="0" customWidth="1"/>
    <x:col min="7" max="7" width="13" hidden="0" customWidth="1"/>
    <x:col min="8" max="8" width="18" hidden="0" customWidth="1"/>
  </x:cols>
  <x:sheetData>
    <x:row r="1" ht="22" customHeight="1">
      <x:c r="A1" s="11" t="str">
        <x:v>Developer:</x:v>
      </x:c>
      <x:c r="B1" s="12"/>
      <x:c r="C1" s="13" t="str">
        <x:v>Avinash Yadav</x:v>
      </x:c>
      <x:c r="D1" s="13"/>
      <x:c r="E1" s="13"/>
      <x:c r="F1" s="13"/>
      <x:c r="G1" s="13"/>
      <x:c r="H1" s="13"/>
    </x:row>
    <x:row r="2">
      <x:c r="A2" s="11" t="str">
        <x:v>Project:</x:v>
      </x:c>
      <x:c r="B2" s="12"/>
      <x:c r="C2" s="13" t="str">
        <x:v>DI _Workspace Connect Google Drive Connector</x:v>
      </x:c>
      <x:c r="D2" s="13"/>
      <x:c r="E2" s="13"/>
      <x:c r="F2" s="13"/>
      <x:c r="G2" s="13"/>
      <x:c r="H2" s="13"/>
    </x:row>
    <x:row r="3">
      <x:c r="A3" s="11" t="str">
        <x:v>Total Hours:</x:v>
      </x:c>
      <x:c r="B3" s="12"/>
      <x:c r="C3" s="13" t="n">
        <x:f>G19</x:f>
        <x:v>85</x:v>
      </x:c>
      <x:c r="D3" s="13"/>
      <x:c r="E3" s="13"/>
      <x:c r="F3" s="13"/>
      <x:c r="G3" s="13"/>
      <x:c r="H3" s="13"/>
    </x:row>
    <x:row r="4">
      <x:c r="A4" s="11" t="str">
        <x:v>Development hours/Per day:</x:v>
      </x:c>
      <x:c r="B4" s="12"/>
      <x:c r="C4" s="13" t="n">
        <x:v>4</x:v>
      </x:c>
      <x:c r="D4" s="13"/>
      <x:c r="E4" s="13"/>
      <x:c r="F4" s="13"/>
      <x:c r="G4" s="13"/>
      <x:c r="H4" s="13"/>
    </x:row>
    <x:row r="5">
      <x:c r="A5" s="11" t="str">
        <x:v>Project / R&amp;D Start Date:</x:v>
      </x:c>
      <x:c r="B5" s="12"/>
      <x:c r="C5" s="14" t="n">
        <x:v>46219</x:v>
      </x:c>
      <x:c r="D5" s="13"/>
      <x:c r="E5" s="13"/>
      <x:c r="F5" s="13"/>
      <x:c r="G5" s="13"/>
      <x:c r="H5" s="13"/>
    </x:row>
    <x:row r="6">
      <x:c r="A6" s="11" t="str">
        <x:v>Development Start Date:</x:v>
      </x:c>
      <x:c r="B6" s="12"/>
      <x:c r="C6" s="14" t="n">
        <x:v>46223</x:v>
      </x:c>
      <x:c r="D6" s="13"/>
      <x:c r="E6" s="13"/>
      <x:c r="F6" s="13"/>
      <x:c r="G6" s="13"/>
      <x:c r="H6" s="13"/>
    </x:row>
    <x:row r="7" ht="25" customHeight="1">
      <x:c r="A7" s="19" t="str">
        <x:v>Please provide the date you
will start working on the
identified requirements</x:v>
      </x:c>
      <x:c r="B7" s="18"/>
      <x:c r="C7" s="20" t="str">
        <x:v>R&amp;D starts Thursday, 16 July 2026; its end date is intentionally left blank. Development starts Monday, 20 July 2026. Development tasks show both start and end dates, with Saturdays and Sundays excluded.</x:v>
      </x:c>
      <x:c r="D7" s="18"/>
      <x:c r="E7" s="18"/>
      <x:c r="F7" s="18"/>
      <x:c r="G7" s="18"/>
      <x:c r="H7" s="18"/>
    </x:row>
    <x:row r="8" ht="25" customHeight="1">
      <x:c r="A8" s="18"/>
      <x:c r="B8" s="18"/>
      <x:c r="C8" s="18"/>
      <x:c r="D8" s="18"/>
      <x:c r="E8" s="18"/>
      <x:c r="F8" s="18"/>
      <x:c r="G8" s="18"/>
      <x:c r="H8" s="18"/>
    </x:row>
    <x:row r="9" ht="25" customHeight="1">
      <x:c r="A9" s="18"/>
      <x:c r="B9" s="18"/>
      <x:c r="C9" s="18"/>
      <x:c r="D9" s="18"/>
      <x:c r="E9" s="18"/>
      <x:c r="F9" s="18"/>
      <x:c r="G9" s="18"/>
      <x:c r="H9" s="18"/>
    </x:row>
    <x:row r="10" ht="36" customHeight="1">
      <x:c r="A10" s="24" t="str">
        <x:v>Sno</x:v>
      </x:c>
      <x:c r="B10" s="24" t="str">
        <x:v>BRD # (optional)</x:v>
      </x:c>
      <x:c r="C10" s="24" t="str">
        <x:v>Task Breakdown</x:v>
      </x:c>
      <x:c r="D10" s="24" t="str">
        <x:v>Start Date</x:v>
      </x:c>
      <x:c r="E10" s="24" t="str">
        <x:v>End Date</x:v>
      </x:c>
      <x:c r="F10" s="24" t="str">
        <x:v>Team</x:v>
      </x:c>
      <x:c r="G10" s="24" t="str">
        <x:v>Total FE hours</x:v>
      </x:c>
      <x:c r="H10" s="24" t="str">
        <x:v>Comments</x:v>
      </x:c>
    </x:row>
    <x:row r="11" ht="108" customHeight="1">
      <x:c r="A11" s="30" t="n">
        <x:v>1</x:v>
      </x:c>
      <x:c r="B11" s="30" t="str"/>
      <x:c r="C11" s="29" t="str">
        <x:v>R&amp;D and technical validation
Review the existing SharePoint Workspace Connect implementation, validate Google Drive API and Picker capabilities, confirm OAuth/service-account options, test Shared drive access, finalize supported file/export behavior and document the agreed implementation approach before development begins.</x:v>
      </x:c>
      <x:c r="D11" s="31" t="n">
        <x:f>$C$5</x:f>
        <x:v>46219</x:v>
      </x:c>
      <x:c r="E11" s="31"/>
      <x:c r="F11" s="30" t="str">
        <x:v>FE</x:v>
      </x:c>
      <x:c r="G11" s="30" t="n">
        <x:v>8</x:v>
      </x:c>
      <x:c r="H11" s="27" t="str"/>
    </x:row>
    <x:row r="12" ht="108" customHeight="1">
      <x:c r="A12" s="30" t="n">
        <x:v>2</x:v>
      </x:c>
      <x:c r="B12" s="30" t="str"/>
      <x:c r="C12" s="29" t="str">
        <x:v>File First Section - Google Drive integration
Implement a dedicated File First approach with Google Drive file-pick capability.
Users should be able to:
- Sign in and grant Google Drive consent.
- Open Google Picker and select permitted files from My Drive or Shared drives.
- Return the exact file ID, name, MIME type, size and parent/drive context for direct ingestion.
Consent must be completed before Drive data is loaded, and only files explicitly authorized for the user should be visible.</x:v>
      </x:c>
      <x:c r="D12" s="31" t="n">
        <x:f>WORKDAY($C$6,INT((SUM($G$12:G12)-G12)/$C$4))</x:f>
        <x:v>46223</x:v>
      </x:c>
      <x:c r="E12" s="31" t="n">
        <x:f>WORKDAY($C$6,CEILING(SUM($G$12:G12)/$C$4,1)-1)</x:f>
        <x:v>46225</x:v>
      </x:c>
      <x:c r="F12" s="30" t="str">
        <x:v>FE</x:v>
      </x:c>
      <x:c r="G12" s="30" t="n">
        <x:v>12</x:v>
      </x:c>
      <x:c r="H12" s="27" t="str"/>
    </x:row>
    <x:row r="13" ht="126" customHeight="1">
      <x:c r="A13" s="30" t="n">
        <x:v>3</x:v>
      </x:c>
      <x:c r="B13" s="30" t="str"/>
      <x:c r="C13" s="29" t="str">
        <x:v>Process First Approach - Google Drive configuration workflow
Introduce a separate Process First approach with a dedicated Process - Google Drive section in the workflow. The section should provide end-to-end configuration from Client Settings through Notification Settings, specifically tailored for Google Drive. Google Drive-specific configuration must be available when Google Drive is selected as the process type, including registered connector, Shared drive/folder selection and saved source IDs.</x:v>
      </x:c>
      <x:c r="D13" s="31" t="n">
        <x:f>WORKDAY($C$6,INT((SUM($G$12:G13)-G13)/$C$4))</x:f>
        <x:v>46226</x:v>
      </x:c>
      <x:c r="E13" s="31" t="n">
        <x:f>WORKDAY($C$6,CEILING(SUM($G$12:G13)/$C$4,1)-1)</x:f>
        <x:v>46231</x:v>
      </x:c>
      <x:c r="F13" s="30" t="str">
        <x:v>FE</x:v>
      </x:c>
      <x:c r="G13" s="30" t="n">
        <x:v>15</x:v>
      </x:c>
      <x:c r="H13" s="27" t="str"/>
    </x:row>
    <x:row r="14" ht="108" customHeight="1">
      <x:c r="A14" s="30" t="n">
        <x:v>4</x:v>
      </x:c>
      <x:c r="B14" s="30" t="str"/>
      <x:c r="C14" s="29" t="str">
        <x:v>Supported file type handling
Restrict ingestion to file types supported by the data-ingestion application. Validate MIME type and extension before processing. Handle Google-native Docs, Sheets and Slides through supported export formats, and show a clear validation message for unsupported or non-downloadable files.</x:v>
      </x:c>
      <x:c r="D14" s="31" t="n">
        <x:f>WORKDAY($C$6,INT((SUM($G$12:G14)-G14)/$C$4))</x:f>
        <x:v>46231</x:v>
      </x:c>
      <x:c r="E14" s="31" t="n">
        <x:f>WORKDAY($C$6,CEILING(SUM($G$12:G14)/$C$4,1)-1)</x:f>
        <x:v>46232</x:v>
      </x:c>
      <x:c r="F14" s="30" t="str">
        <x:v>FE</x:v>
      </x:c>
      <x:c r="G14" s="30" t="n">
        <x:v>5</x:v>
      </x:c>
      <x:c r="H14" s="27" t="str"/>
    </x:row>
    <x:row r="15" ht="108" customHeight="1">
      <x:c r="A15" s="30" t="n">
        <x:v>5</x:v>
      </x:c>
      <x:c r="B15" s="30" t="str"/>
      <x:c r="C15" s="29" t="str">
        <x:v>Google Drive and Shared drive dynamic listing
Implement functionality to display My Drive and Shared drives available to the signed-in Google user. Load folders and files dynamically using Google Drive API v3, support pagination and Shared drive parameters, and preserve the current workspace browser experience. Only resources accessible to the active identity should be listed.</x:v>
      </x:c>
      <x:c r="D15" s="31" t="n">
        <x:f>WORKDAY($C$6,INT((SUM($G$12:G15)-G15)/$C$4))</x:f>
        <x:v>46233</x:v>
      </x:c>
      <x:c r="E15" s="31" t="n">
        <x:f>WORKDAY($C$6,CEILING(SUM($G$12:G15)/$C$4,1)-1)</x:f>
        <x:v>46237</x:v>
      </x:c>
      <x:c r="F15" s="30" t="str">
        <x:v>FE</x:v>
      </x:c>
      <x:c r="G15" s="30" t="n">
        <x:v>10</x:v>
      </x:c>
      <x:c r="H15" s="27" t="str"/>
    </x:row>
    <x:row r="16" ht="108" customHeight="1">
      <x:c r="A16" s="30" t="n">
        <x:v>6</x:v>
      </x:c>
      <x:c r="B16" s="30" t="str"/>
      <x:c r="C16" s="29" t="str">
        <x:v>User-specific access and folder listing
Provide role-based access for Drive/folder selection using the existing Region, Sub-region, Client and Security Group hierarchy. Use least-privilege OAuth consent and Google Picker per-file authorization for interactive users. Display access-denied, consent, expired-token and download-disabled states without exposing credentials or tokens.</x:v>
      </x:c>
      <x:c r="D16" s="31" t="n">
        <x:f>WORKDAY($C$6,INT((SUM($G$12:G16)-G16)/$C$4))</x:f>
        <x:v>46237</x:v>
      </x:c>
      <x:c r="E16" s="31" t="n">
        <x:f>WORKDAY($C$6,CEILING(SUM($G$12:G16)/$C$4,1)-1)</x:f>
        <x:v>46239</x:v>
      </x:c>
      <x:c r="F16" s="30" t="str">
        <x:v>FE</x:v>
      </x:c>
      <x:c r="G16" s="30" t="n">
        <x:v>8</x:v>
      </x:c>
      <x:c r="H16" s="27" t="str"/>
    </x:row>
    <x:row r="17" ht="126" customHeight="1">
      <x:c r="A17" s="30" t="n">
        <x:v>7</x:v>
      </x:c>
      <x:c r="B17" s="30" t="str"/>
      <x:c r="C17" s="29" t="str">
        <x:v>Application registration and other integration
Update the application registration workflow for Google Drive connectors. Capture application owner/co-owner, Google Cloud project number, OAuth client ID, service-account identity or workload-identity configuration, Workspace domain/customer, Shared drive ID and root folder ID. Validate connectivity and permissions before activation, allow draft edits, and use external secret references rather than storing private keys or client secrets in source code.</x:v>
      </x:c>
      <x:c r="D17" s="31" t="n">
        <x:f>WORKDAY($C$6,INT((SUM($G$12:G17)-G17)/$C$4))</x:f>
        <x:v>46239</x:v>
      </x:c>
      <x:c r="E17" s="31" t="n">
        <x:f>WORKDAY($C$6,CEILING(SUM($G$12:G17)/$C$4,1)-1)</x:f>
        <x:v>46241</x:v>
      </x:c>
      <x:c r="F17" s="30" t="str">
        <x:v>FE</x:v>
      </x:c>
      <x:c r="G17" s="30" t="n">
        <x:v>10</x:v>
      </x:c>
      <x:c r="H17" s="27" t="str"/>
    </x:row>
    <x:row r="18" ht="126" customHeight="1">
      <x:c r="A18" s="30" t="n">
        <x:v>8</x:v>
      </x:c>
      <x:c r="B18" s="30" t="str"/>
      <x:c r="C18" s="29" t="str">
        <x:v>Unit testing
Provide expanded automated and manual coverage for consent and Picker callbacks, connector registration, My Drive and Shared drive browsing, pagination, nested folders, file metadata mapping, Google-native file export, ordinary file download, large-file streaming, token expiry, revoked access, quota/rate-limit handling, unsupported file types and process-configuration save/edit/reload. Include security, cross-browser, integration and SharePoint regression testing before UAT handoff.</x:v>
      </x:c>
      <x:c r="D18" s="31" t="n">
        <x:f>WORKDAY($C$6,INT((SUM($G$12:G18)-G18)/$C$4))</x:f>
        <x:v>46244</x:v>
      </x:c>
      <x:c r="E18" s="31" t="n">
        <x:f>WORKDAY($C$6,CEILING(SUM($G$12:G18)/$C$4,1)-1)</x:f>
        <x:v>46248</x:v>
      </x:c>
      <x:c r="F18" s="30" t="str">
        <x:v>FE</x:v>
      </x:c>
      <x:c r="G18" s="30" t="n">
        <x:v>17</x:v>
      </x:c>
      <x:c r="H18" s="27" t="str"/>
    </x:row>
    <x:row r="19">
      <x:c r="A19" s="33" t="str"/>
      <x:c r="B19" s="33" t="str"/>
      <x:c r="C19" s="34" t="str">
        <x:v>Total</x:v>
      </x:c>
      <x:c r="D19" s="34" t="str"/>
      <x:c r="E19" s="34" t="str"/>
      <x:c r="F19" s="34" t="str"/>
      <x:c r="G19" s="34" t="n">
        <x:f>SUM(G11:G18)</x:f>
        <x:v>85</x:v>
      </x:c>
      <x:c r="H19" s="33" t="str"/>
    </x:row>
  </x:sheetData>
  <x:mergeCells>
    <x:mergeCell ref="A1:B1"/>
    <x:mergeCell ref="C1:H1"/>
    <x:mergeCell ref="A2:B2"/>
    <x:mergeCell ref="C2:H2"/>
    <x:mergeCell ref="A3:B3"/>
    <x:mergeCell ref="C3:H3"/>
    <x:mergeCell ref="A4:B4"/>
    <x:mergeCell ref="C4:H4"/>
    <x:mergeCell ref="A5:B5"/>
    <x:mergeCell ref="C5:H5"/>
    <x:mergeCell ref="A6:B6"/>
    <x:mergeCell ref="C6:H6"/>
    <x:mergeCell ref="A7:B9"/>
    <x:mergeCell ref="C7:H9"/>
  </x:mergeCells>
  <x:pageMargins left="0.7" right="0.7" top="0.75" bottom="0.75" header="0.3" footer="0.3"/>
</x:worksheet>
</file>